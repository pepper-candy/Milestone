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gk\Desktop\"/>
    </mc:Choice>
  </mc:AlternateContent>
  <xr:revisionPtr revIDLastSave="0" documentId="13_ncr:1_{9C649F81-8BA8-432E-9AF6-6314793107E8}" xr6:coauthVersionLast="47" xr6:coauthVersionMax="47" xr10:uidLastSave="{00000000-0000-0000-0000-000000000000}"/>
  <bookViews>
    <workbookView xWindow="-108" yWindow="-108" windowWidth="27096" windowHeight="16296" xr2:uid="{3C2C6E59-DEC1-41FA-96DF-BFFAAA78D3A5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19" i="1"/>
  <c r="J20" i="1" s="1"/>
  <c r="J25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3" i="1"/>
  <c r="J27" i="1" l="1"/>
  <c r="H27" i="1"/>
  <c r="L27" i="1" l="1"/>
</calcChain>
</file>

<file path=xl/sharedStrings.xml><?xml version="1.0" encoding="utf-8"?>
<sst xmlns="http://schemas.openxmlformats.org/spreadsheetml/2006/main" count="63" uniqueCount="55">
  <si>
    <t>#20 exp = 1 gem</t>
  </si>
  <si>
    <t>task_no</t>
  </si>
  <si>
    <t xml:space="preserve"> exp</t>
  </si>
  <si>
    <t xml:space="preserve"> gem</t>
  </si>
  <si>
    <t>Math_S2_E2_P1</t>
  </si>
  <si>
    <t>Math_S2_E2_P2</t>
  </si>
  <si>
    <t>Math_S3_E1_P1</t>
  </si>
  <si>
    <t>Math_S3_E1_P2</t>
  </si>
  <si>
    <t>Math_S3_E2_P1</t>
  </si>
  <si>
    <t>Math_S3_E2_P2</t>
  </si>
  <si>
    <t>Math_S4_E1_P1</t>
  </si>
  <si>
    <t>Math_S4_E1_P2</t>
  </si>
  <si>
    <t>Eng_Writing_A1</t>
  </si>
  <si>
    <t>Eng_Writing_B2</t>
  </si>
  <si>
    <t>Eng_Writing_B3</t>
  </si>
  <si>
    <t>Eng_Vocab_1</t>
  </si>
  <si>
    <t>Eng_Vocab_2</t>
  </si>
  <si>
    <t>Eng_Vocab_3</t>
  </si>
  <si>
    <t>Eng_Speak_1</t>
  </si>
  <si>
    <t>Eng_Speak_2</t>
  </si>
  <si>
    <t>Eng_Speak_3</t>
  </si>
  <si>
    <t>Soc_Project_1</t>
  </si>
  <si>
    <t>Soc_Project_2</t>
  </si>
  <si>
    <t>Merit</t>
  </si>
  <si>
    <t>Distinction</t>
  </si>
  <si>
    <t>Good</t>
  </si>
  <si>
    <t>Satisfactory</t>
  </si>
  <si>
    <t>Cap</t>
  </si>
  <si>
    <t>Apple Pencil</t>
  </si>
  <si>
    <t>Airpods (Any Model)</t>
  </si>
  <si>
    <t>Meccha Chemeleon</t>
  </si>
  <si>
    <t>Cow Angry (牛氣)</t>
  </si>
  <si>
    <t>Volleyball Stuff</t>
  </si>
  <si>
    <t>Spotify Premium (3 Months)</t>
  </si>
  <si>
    <t>Spotify Premium (5 Months)</t>
  </si>
  <si>
    <t>Spotify Premium (11 Months)</t>
  </si>
  <si>
    <t>Spotify Premium (1 Months)</t>
  </si>
  <si>
    <t>do?</t>
  </si>
  <si>
    <t>got exp</t>
  </si>
  <si>
    <t>Total:</t>
  </si>
  <si>
    <t>Study for</t>
  </si>
  <si>
    <t>hours every weekdays</t>
  </si>
  <si>
    <t>hours every week</t>
  </si>
  <si>
    <t>hours for 49 days</t>
  </si>
  <si>
    <t>=</t>
  </si>
  <si>
    <t>Tutorial for</t>
  </si>
  <si>
    <t>Extra Exp</t>
  </si>
  <si>
    <t>+</t>
  </si>
  <si>
    <t>Basic</t>
  </si>
  <si>
    <t>Extra</t>
  </si>
  <si>
    <t>Total</t>
  </si>
  <si>
    <t>Math_S4_Q_Ch1</t>
  </si>
  <si>
    <t>Math_S4_Q_Ch2</t>
  </si>
  <si>
    <t>Math_S4_Q_Ch3</t>
  </si>
  <si>
    <t>Math_S4_Q_Ch4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</si>
</sst>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C943-3799-4603-ABC0-0CFF934925AD}">
  <dimension ref="A1:M28"/>
  <sheetViews>
    <sheetView tabSelected="1" zoomScale="155" workbookViewId="0">
      <selection activeCell="E17" sqref="E17"/>
    </sheetView>
  </sheetViews>
  <sheetFormatPr defaultRowHeight="14.4" x14ac:dyDescent="0.3"/>
  <cols>
    <col min="1" max="1" width="15.88671875" customWidth="1"/>
  </cols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 t="s">
        <v>3</v>
      </c>
      <c r="E2" t="s">
        <v>37</v>
      </c>
      <c r="G2" t="s">
        <v>38</v>
      </c>
    </row>
    <row r="3" spans="1:13" x14ac:dyDescent="0.3">
      <c r="A3" t="s">
        <v>4</v>
      </c>
      <c r="B3">
        <v>5</v>
      </c>
      <c r="C3">
        <v>1</v>
      </c>
      <c r="E3" s="2">
        <v>1</v>
      </c>
      <c r="G3">
        <f>E3*(C3*20+B3)</f>
        <v>25</v>
      </c>
      <c r="I3">
        <v>15</v>
      </c>
      <c r="J3" t="s">
        <v>26</v>
      </c>
      <c r="L3">
        <v>15</v>
      </c>
      <c r="M3" t="s">
        <v>36</v>
      </c>
    </row>
    <row r="4" spans="1:13" x14ac:dyDescent="0.3">
      <c r="A4" t="s">
        <v>5</v>
      </c>
      <c r="B4">
        <v>5</v>
      </c>
      <c r="C4">
        <v>1</v>
      </c>
      <c r="E4" s="2">
        <v>1</v>
      </c>
      <c r="G4">
        <f t="shared" ref="G4:G25" si="0">E4*(C4*20+B4)</f>
        <v>25</v>
      </c>
      <c r="I4">
        <v>20</v>
      </c>
      <c r="J4" t="s">
        <v>25</v>
      </c>
      <c r="L4">
        <v>21</v>
      </c>
      <c r="M4" t="s">
        <v>30</v>
      </c>
    </row>
    <row r="5" spans="1:13" x14ac:dyDescent="0.3">
      <c r="A5" t="s">
        <v>6</v>
      </c>
      <c r="B5">
        <v>15</v>
      </c>
      <c r="C5">
        <v>1</v>
      </c>
      <c r="E5" s="2">
        <v>1</v>
      </c>
      <c r="G5">
        <f t="shared" si="0"/>
        <v>35</v>
      </c>
      <c r="I5">
        <v>25</v>
      </c>
      <c r="J5" t="s">
        <v>23</v>
      </c>
      <c r="L5">
        <v>23</v>
      </c>
      <c r="M5" t="s">
        <v>32</v>
      </c>
    </row>
    <row r="6" spans="1:13" x14ac:dyDescent="0.3">
      <c r="A6" t="s">
        <v>7</v>
      </c>
      <c r="B6">
        <v>15</v>
      </c>
      <c r="C6">
        <v>1</v>
      </c>
      <c r="E6" s="2">
        <v>1</v>
      </c>
      <c r="G6">
        <f t="shared" si="0"/>
        <v>35</v>
      </c>
      <c r="I6">
        <v>30</v>
      </c>
      <c r="J6" t="s">
        <v>24</v>
      </c>
      <c r="L6">
        <v>24</v>
      </c>
      <c r="M6" t="s">
        <v>33</v>
      </c>
    </row>
    <row r="7" spans="1:13" x14ac:dyDescent="0.3">
      <c r="A7" t="s">
        <v>8</v>
      </c>
      <c r="B7">
        <v>5</v>
      </c>
      <c r="C7">
        <v>2</v>
      </c>
      <c r="E7" s="2">
        <v>1</v>
      </c>
      <c r="G7">
        <f t="shared" si="0"/>
        <v>45</v>
      </c>
      <c r="I7">
        <v>40</v>
      </c>
      <c r="J7" t="s">
        <v>27</v>
      </c>
      <c r="L7">
        <v>26</v>
      </c>
      <c r="M7" t="s">
        <v>31</v>
      </c>
    </row>
    <row r="8" spans="1:13" x14ac:dyDescent="0.3">
      <c r="A8" t="s">
        <v>9</v>
      </c>
      <c r="B8">
        <v>5</v>
      </c>
      <c r="C8">
        <v>2</v>
      </c>
      <c r="E8" s="2">
        <v>1</v>
      </c>
      <c r="G8">
        <f t="shared" si="0"/>
        <v>45</v>
      </c>
      <c r="L8">
        <v>28</v>
      </c>
      <c r="M8" t="s">
        <v>28</v>
      </c>
    </row>
    <row r="9" spans="1:13" x14ac:dyDescent="0.3">
      <c r="A9" t="s">
        <v>51</v>
      </c>
      <c r="B9">
        <v>0</v>
      </c>
      <c r="C9">
        <v>1</v>
      </c>
      <c r="E9" s="2"/>
      <c r="G9">
        <f t="shared" si="0"/>
        <v>0</v>
      </c>
      <c r="L9">
        <v>29</v>
      </c>
      <c r="M9" t="s">
        <v>34</v>
      </c>
    </row>
    <row r="10" spans="1:13" x14ac:dyDescent="0.3">
      <c r="A10" t="s">
        <v>52</v>
      </c>
      <c r="B10">
        <v>10</v>
      </c>
      <c r="C10">
        <v>1</v>
      </c>
      <c r="E10" s="2"/>
      <c r="G10">
        <f t="shared" si="0"/>
        <v>0</v>
      </c>
      <c r="L10">
        <v>31</v>
      </c>
      <c r="M10" t="s">
        <v>29</v>
      </c>
    </row>
    <row r="11" spans="1:13" x14ac:dyDescent="0.3">
      <c r="A11" t="s">
        <v>53</v>
      </c>
      <c r="B11">
        <v>5</v>
      </c>
      <c r="C11">
        <v>1</v>
      </c>
      <c r="E11" s="2"/>
      <c r="G11">
        <f t="shared" si="0"/>
        <v>0</v>
      </c>
      <c r="L11">
        <v>33</v>
      </c>
      <c r="M11" t="s">
        <v>35</v>
      </c>
    </row>
    <row r="12" spans="1:13" x14ac:dyDescent="0.3">
      <c r="A12" t="s">
        <v>54</v>
      </c>
      <c r="B12">
        <v>5</v>
      </c>
      <c r="C12">
        <v>2</v>
      </c>
      <c r="E12" s="2"/>
      <c r="G12">
        <f t="shared" si="0"/>
        <v>0</v>
      </c>
    </row>
    <row r="13" spans="1:13" x14ac:dyDescent="0.3">
      <c r="A13" t="s">
        <v>10</v>
      </c>
      <c r="B13">
        <v>15</v>
      </c>
      <c r="C13">
        <v>2</v>
      </c>
      <c r="E13" s="2"/>
      <c r="G13">
        <f t="shared" si="0"/>
        <v>0</v>
      </c>
    </row>
    <row r="14" spans="1:13" x14ac:dyDescent="0.3">
      <c r="A14" t="s">
        <v>11</v>
      </c>
      <c r="B14">
        <v>15</v>
      </c>
      <c r="C14">
        <v>2</v>
      </c>
      <c r="E14" s="2"/>
      <c r="G14">
        <f t="shared" si="0"/>
        <v>0</v>
      </c>
    </row>
    <row r="15" spans="1:13" x14ac:dyDescent="0.3">
      <c r="A15" t="s">
        <v>12</v>
      </c>
      <c r="B15">
        <v>5</v>
      </c>
      <c r="C15">
        <v>1</v>
      </c>
      <c r="E15" s="2">
        <v>1</v>
      </c>
      <c r="G15">
        <f t="shared" si="0"/>
        <v>25</v>
      </c>
    </row>
    <row r="16" spans="1:13" x14ac:dyDescent="0.3">
      <c r="A16" t="s">
        <v>13</v>
      </c>
      <c r="B16">
        <v>15</v>
      </c>
      <c r="C16">
        <v>1</v>
      </c>
      <c r="E16" s="2">
        <v>1</v>
      </c>
      <c r="G16">
        <f t="shared" si="0"/>
        <v>35</v>
      </c>
    </row>
    <row r="17" spans="1:12" x14ac:dyDescent="0.3">
      <c r="A17" t="s">
        <v>14</v>
      </c>
      <c r="B17">
        <v>5</v>
      </c>
      <c r="C17">
        <v>1</v>
      </c>
      <c r="E17" s="2">
        <v>1</v>
      </c>
      <c r="G17">
        <f t="shared" si="0"/>
        <v>25</v>
      </c>
    </row>
    <row r="18" spans="1:12" x14ac:dyDescent="0.3">
      <c r="A18" t="s">
        <v>15</v>
      </c>
      <c r="B18">
        <v>15</v>
      </c>
      <c r="C18">
        <v>0</v>
      </c>
      <c r="E18" s="2">
        <v>1</v>
      </c>
      <c r="G18">
        <f t="shared" si="0"/>
        <v>15</v>
      </c>
      <c r="I18" s="1" t="s">
        <v>40</v>
      </c>
      <c r="J18" s="2">
        <v>2</v>
      </c>
      <c r="K18" t="s">
        <v>41</v>
      </c>
    </row>
    <row r="19" spans="1:12" x14ac:dyDescent="0.3">
      <c r="A19" t="s">
        <v>16</v>
      </c>
      <c r="B19">
        <v>10</v>
      </c>
      <c r="C19">
        <v>0</v>
      </c>
      <c r="E19" s="2">
        <v>1</v>
      </c>
      <c r="G19">
        <f t="shared" si="0"/>
        <v>10</v>
      </c>
      <c r="I19" s="1" t="s">
        <v>44</v>
      </c>
      <c r="J19">
        <f>J18*6</f>
        <v>12</v>
      </c>
      <c r="K19" t="s">
        <v>42</v>
      </c>
    </row>
    <row r="20" spans="1:12" x14ac:dyDescent="0.3">
      <c r="A20" t="s">
        <v>17</v>
      </c>
      <c r="B20">
        <v>5</v>
      </c>
      <c r="C20">
        <v>0</v>
      </c>
      <c r="E20" s="2">
        <v>1</v>
      </c>
      <c r="G20">
        <f t="shared" si="0"/>
        <v>5</v>
      </c>
      <c r="I20" s="1" t="s">
        <v>44</v>
      </c>
      <c r="J20">
        <f xml:space="preserve"> J19*7</f>
        <v>84</v>
      </c>
      <c r="K20" t="s">
        <v>43</v>
      </c>
    </row>
    <row r="21" spans="1:12" x14ac:dyDescent="0.3">
      <c r="A21" t="s">
        <v>18</v>
      </c>
      <c r="B21">
        <v>10</v>
      </c>
      <c r="C21">
        <v>0</v>
      </c>
      <c r="E21" s="2">
        <v>1</v>
      </c>
      <c r="G21">
        <f t="shared" si="0"/>
        <v>10</v>
      </c>
    </row>
    <row r="22" spans="1:12" x14ac:dyDescent="0.3">
      <c r="A22" t="s">
        <v>19</v>
      </c>
      <c r="B22">
        <v>5</v>
      </c>
      <c r="C22">
        <v>0</v>
      </c>
      <c r="E22" s="2">
        <v>1</v>
      </c>
      <c r="G22">
        <f t="shared" si="0"/>
        <v>5</v>
      </c>
      <c r="I22" s="1" t="s">
        <v>45</v>
      </c>
      <c r="J22" s="2">
        <v>2</v>
      </c>
      <c r="K22" t="s">
        <v>42</v>
      </c>
    </row>
    <row r="23" spans="1:12" x14ac:dyDescent="0.3">
      <c r="A23" t="s">
        <v>20</v>
      </c>
      <c r="B23">
        <v>5</v>
      </c>
      <c r="C23">
        <v>0</v>
      </c>
      <c r="E23" s="2">
        <v>1</v>
      </c>
      <c r="G23">
        <f t="shared" si="0"/>
        <v>5</v>
      </c>
      <c r="I23" s="1" t="s">
        <v>44</v>
      </c>
      <c r="J23">
        <f>J22*7</f>
        <v>14</v>
      </c>
      <c r="K23" t="s">
        <v>43</v>
      </c>
    </row>
    <row r="24" spans="1:12" x14ac:dyDescent="0.3">
      <c r="A24" t="s">
        <v>21</v>
      </c>
      <c r="B24">
        <v>0</v>
      </c>
      <c r="C24">
        <v>2</v>
      </c>
      <c r="E24" s="2">
        <v>1</v>
      </c>
      <c r="G24">
        <f t="shared" si="0"/>
        <v>40</v>
      </c>
    </row>
    <row r="25" spans="1:12" x14ac:dyDescent="0.3">
      <c r="A25" t="s">
        <v>22</v>
      </c>
      <c r="B25">
        <v>5</v>
      </c>
      <c r="C25">
        <v>1</v>
      </c>
      <c r="E25" s="2">
        <v>1</v>
      </c>
      <c r="G25">
        <f t="shared" si="0"/>
        <v>25</v>
      </c>
      <c r="I25" s="1" t="s">
        <v>44</v>
      </c>
      <c r="J25">
        <f>(J20+J23+J23)*0.5</f>
        <v>56</v>
      </c>
      <c r="K25" t="s">
        <v>46</v>
      </c>
    </row>
    <row r="27" spans="1:12" x14ac:dyDescent="0.3">
      <c r="G27" s="1" t="s">
        <v>39</v>
      </c>
      <c r="H27">
        <f>SUM(G:G)/20</f>
        <v>20.5</v>
      </c>
      <c r="I27" s="4" t="s">
        <v>47</v>
      </c>
      <c r="J27">
        <f>J25/20</f>
        <v>2.8</v>
      </c>
      <c r="K27" t="s">
        <v>44</v>
      </c>
      <c r="L27" s="3">
        <f>H27+J27</f>
        <v>23.3</v>
      </c>
    </row>
    <row r="28" spans="1:12" x14ac:dyDescent="0.3">
      <c r="H28" t="s">
        <v>48</v>
      </c>
      <c r="I28" s="4" t="s">
        <v>47</v>
      </c>
      <c r="J28" t="s">
        <v>49</v>
      </c>
      <c r="K28" t="s">
        <v>44</v>
      </c>
      <c r="L28" t="s">
        <v>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Mong</cp:lastModifiedBy>
  <dcterms:created xsi:type="dcterms:W3CDTF">2026-07-13T15:33:19Z</dcterms:created>
  <dcterms:modified xsi:type="dcterms:W3CDTF">2026-07-14T05:37:58Z</dcterms:modified>
</cp:coreProperties>
</file>